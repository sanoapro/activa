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endamiento" sheetId="1" r:id="rId5"/>
  </sheets>
  <definedNames/>
  <calcPr/>
</workbook>
</file>

<file path=xl/sharedStrings.xml><?xml version="1.0" encoding="utf-8"?>
<sst xmlns="http://schemas.openxmlformats.org/spreadsheetml/2006/main" count="86" uniqueCount="60">
  <si>
    <t>Cálculos para colegios, precios sin IVA</t>
  </si>
  <si>
    <t>Todos los precios son SIN IVA</t>
  </si>
  <si>
    <t>Cliente</t>
  </si>
  <si>
    <t>Meses</t>
  </si>
  <si>
    <t>Precio unitario</t>
  </si>
  <si>
    <t># de equipos</t>
  </si>
  <si>
    <t>Total financiado</t>
  </si>
  <si>
    <t>Tasa anual</t>
  </si>
  <si>
    <t>Mensualidad unitario</t>
  </si>
  <si>
    <t>Mensualidad total</t>
  </si>
  <si>
    <t>Anualidad unitario</t>
  </si>
  <si>
    <t>Total pagado</t>
  </si>
  <si>
    <t>Equipo</t>
  </si>
  <si>
    <t>Modelo</t>
  </si>
  <si>
    <t>Precios</t>
  </si>
  <si>
    <t>Colegio</t>
  </si>
  <si>
    <t>CEU</t>
  </si>
  <si>
    <t>Equipo Estudiante</t>
  </si>
  <si>
    <t xml:space="preserve">"Asus Chromebook CZ1104FM4A-NS0074
Rugged Chromebook MediaTek Kompanio 540 8GB 64GB EMMC 11.6 touch. 720p HD camera with privacy shutter, world facing 5.0M camera. 19 hour battery. 
Licencia CEU permanente integrada"	</t>
  </si>
  <si>
    <t>Securly</t>
  </si>
  <si>
    <t>Equipo Docente</t>
  </si>
  <si>
    <r>
      <rPr>
        <rFont val="Encode Sans"/>
        <b/>
        <color theme="1"/>
        <sz val="11.0"/>
      </rPr>
      <t>Asus Chromebook Essential</t>
    </r>
    <r>
      <rPr>
        <rFont val="Encode Sans"/>
        <color theme="1"/>
        <sz val="11.0"/>
      </rPr>
      <t xml:space="preserve"> CX3402CVACORE I3 I3-1315U 8GB 256GB UFS 14.0  FHD 1920X1080 16:9 250nits Anti-Glare NTSC:45% Wide View Touch(OTP) Intel® UHD Graphics ChromeOS GREY Wi-Fi 6E(802.11ax) (Dual band) 2*2 + Bluetooth® 5.4 Wireless Card</t>
    </r>
  </si>
  <si>
    <t>Seguro</t>
  </si>
  <si>
    <t>Securly 1 año</t>
  </si>
  <si>
    <t>Securly + Classroom Monitor + Cloud Filter - 1 year license</t>
  </si>
  <si>
    <t>Securly 3 años</t>
  </si>
  <si>
    <t>Securly + Classroom Monitor + Cloud Filter - 3 year license</t>
  </si>
  <si>
    <t>Securly 4 años</t>
  </si>
  <si>
    <t>Securly + Classroom Monitor + Cloud Filter - 4 year license</t>
  </si>
  <si>
    <t>Seguro 1 año</t>
  </si>
  <si>
    <t xml:space="preserve">Seguro contra daños accidentales 1 año	</t>
  </si>
  <si>
    <t>Seguro 3 años</t>
  </si>
  <si>
    <t xml:space="preserve">Seguro contra daños accidentales 3 años        </t>
  </si>
  <si>
    <t>Seguro 4 años</t>
  </si>
  <si>
    <t xml:space="preserve">Seguro contra daños accidentales 4 años        </t>
  </si>
  <si>
    <t>TOTAL</t>
  </si>
  <si>
    <t>Licencia CEU</t>
  </si>
  <si>
    <t>Carrito de carga y almacenamiento para 20 Chromebooks</t>
  </si>
  <si>
    <t>Carrito de carga y almacenamiento para 30 Chromebooks</t>
  </si>
  <si>
    <t>USAR ESTE PARA CARRITOS</t>
  </si>
  <si>
    <t>Carrito de carga y almacenamiento para 40 Chromebooks</t>
  </si>
  <si>
    <t>Precio TOTAL carritos</t>
  </si>
  <si>
    <t>Carrito 30</t>
  </si>
  <si>
    <t>PRECIO LIGA 11 jun</t>
  </si>
  <si>
    <t>IVA</t>
  </si>
  <si>
    <t>Len ThinkCentre</t>
  </si>
  <si>
    <t>x13</t>
  </si>
  <si>
    <t>Memoria Ram</t>
  </si>
  <si>
    <t>Monitor Lenovo</t>
  </si>
  <si>
    <t>Link Montaje</t>
  </si>
  <si>
    <t>ugrade</t>
  </si>
  <si>
    <t>no disponible</t>
  </si>
  <si>
    <t>ThinkPad</t>
  </si>
  <si>
    <t>x2</t>
  </si>
  <si>
    <t>Imp. Bambú</t>
  </si>
  <si>
    <t>Cortadora</t>
  </si>
  <si>
    <t>apple iPad air</t>
  </si>
  <si>
    <t>No break Tripp</t>
  </si>
  <si>
    <t>x1</t>
  </si>
  <si>
    <t>No break Panduit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</si>
</sst>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Encode Sans"/>
    </font>
    <font>
      <b/>
      <color theme="1"/>
      <name val="Encode Sans"/>
    </font>
    <font>
      <b/>
      <sz val="11.0"/>
      <color rgb="FFFFFFFF"/>
      <name val="Encode Sans"/>
    </font>
    <font>
      <color theme="1"/>
      <name val="Arial"/>
      <scheme val="minor"/>
    </font>
    <font>
      <sz val="11.0"/>
      <color theme="1"/>
      <name val="Encode Sans"/>
    </font>
    <font>
      <sz val="10.0"/>
      <color rgb="FF000000"/>
      <name val="Encode Sans"/>
    </font>
    <font>
      <sz val="11.0"/>
      <color rgb="FF000000"/>
      <name val="Encode Sans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55A9D"/>
        <bgColor rgb="FF855A9D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shrinkToFit="0" vertical="bottom" wrapText="1"/>
    </xf>
    <xf borderId="3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164" xfId="0" applyAlignment="1" applyBorder="1" applyFont="1" applyNumberFormat="1">
      <alignment horizontal="right" shrinkToFit="0" vertical="bottom" wrapText="1"/>
    </xf>
    <xf borderId="2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0" fillId="0" fontId="1" numFmtId="164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164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4" fontId="1" numFmtId="164" xfId="0" applyAlignment="1" applyFont="1" applyNumberFormat="1">
      <alignment vertical="bottom"/>
    </xf>
    <xf borderId="0" fillId="4" fontId="1" numFmtId="10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vertical="bottom"/>
    </xf>
    <xf borderId="0" fillId="4" fontId="1" numFmtId="10" xfId="0" applyAlignment="1" applyFont="1" applyNumberFormat="1">
      <alignment vertical="bottom"/>
    </xf>
    <xf borderId="0" fillId="0" fontId="1" numFmtId="164" xfId="0" applyAlignment="1" applyFont="1" applyNumberFormat="1">
      <alignment readingOrder="0"/>
    </xf>
    <xf borderId="2" fillId="0" fontId="5" numFmtId="0" xfId="0" applyAlignment="1" applyBorder="1" applyFont="1">
      <alignment shrinkToFit="0" vertical="bottom" wrapText="0"/>
    </xf>
    <xf borderId="3" fillId="0" fontId="5" numFmtId="164" xfId="0" applyAlignment="1" applyBorder="1" applyFont="1" applyNumberFormat="1">
      <alignment readingOrder="0" shrinkToFit="0" vertical="bottom" wrapText="0"/>
    </xf>
    <xf borderId="1" fillId="0" fontId="6" numFmtId="164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/>
    </xf>
    <xf borderId="2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bottom" wrapText="0"/>
    </xf>
    <xf borderId="0" fillId="0" fontId="1" numFmtId="164" xfId="0" applyFont="1" applyNumberFormat="1"/>
    <xf borderId="0" fillId="5" fontId="1" numFmtId="164" xfId="0" applyAlignment="1" applyFill="1" applyFont="1" applyNumberFormat="1">
      <alignment readingOrder="0"/>
    </xf>
    <xf borderId="1" fillId="0" fontId="7" numFmtId="164" xfId="0" applyAlignment="1" applyBorder="1" applyFont="1" applyNumberFormat="1">
      <alignment horizontal="right" readingOrder="0"/>
    </xf>
    <xf borderId="0" fillId="0" fontId="8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6" fontId="1" numFmtId="16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6" fontId="2" numFmtId="164" xfId="0" applyAlignment="1" applyFont="1" applyNumberFormat="1">
      <alignment readingOrder="0"/>
    </xf>
    <xf borderId="0" fillId="6" fontId="1" numFmtId="164" xfId="0" applyFont="1" applyNumberFormat="1"/>
    <xf borderId="0" fillId="0" fontId="1" numFmtId="0" xfId="0" applyAlignment="1" applyFont="1">
      <alignment horizontal="center"/>
    </xf>
    <xf borderId="0" fillId="7" fontId="1" numFmtId="164" xfId="0" applyAlignment="1" applyFill="1" applyFont="1" applyNumberFormat="1">
      <alignment readingOrder="0"/>
    </xf>
    <xf borderId="0" fillId="8" fontId="1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7.75"/>
    <col customWidth="1" min="3" max="3" width="13.5"/>
    <col customWidth="1" min="4" max="4" width="13.75"/>
    <col hidden="1" min="5" max="7" width="12.63"/>
    <col hidden="1" min="9" max="9" width="12.63"/>
    <col customWidth="1" min="12" max="12" width="8.75"/>
    <col customWidth="1" min="15" max="15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</row>
    <row r="2">
      <c r="A2" s="3" t="s">
        <v>0</v>
      </c>
      <c r="B2" s="4"/>
      <c r="C2" s="5"/>
      <c r="D2" s="5"/>
      <c r="E2" s="5"/>
      <c r="F2" s="6"/>
      <c r="G2" s="7"/>
      <c r="H2" s="8"/>
      <c r="I2" s="5"/>
      <c r="J2" s="5"/>
      <c r="K2" s="9"/>
      <c r="L2" s="9"/>
      <c r="M2" s="10"/>
      <c r="N2" s="9"/>
      <c r="O2" s="9"/>
      <c r="P2" s="9"/>
      <c r="Q2" s="11" t="s">
        <v>1</v>
      </c>
      <c r="R2" s="11"/>
      <c r="S2" s="9"/>
      <c r="T2" s="9"/>
      <c r="U2" s="9"/>
    </row>
    <row r="3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2" t="s">
        <v>7</v>
      </c>
      <c r="G3" s="13" t="s">
        <v>8</v>
      </c>
      <c r="H3" s="17" t="s">
        <v>9</v>
      </c>
      <c r="I3" s="16" t="s">
        <v>10</v>
      </c>
      <c r="J3" s="18" t="s">
        <v>11</v>
      </c>
      <c r="K3" s="9"/>
      <c r="L3" s="14" t="s">
        <v>12</v>
      </c>
      <c r="M3" s="19">
        <v>9450.0</v>
      </c>
      <c r="N3" s="9"/>
      <c r="O3" s="9"/>
      <c r="P3" s="20" t="s">
        <v>13</v>
      </c>
      <c r="Q3" s="11" t="s">
        <v>14</v>
      </c>
      <c r="S3" s="11"/>
      <c r="T3" s="11"/>
      <c r="U3" s="11"/>
    </row>
    <row r="4">
      <c r="A4" s="21" t="s">
        <v>15</v>
      </c>
      <c r="B4" s="22">
        <v>36.0</v>
      </c>
      <c r="C4" s="23">
        <f>M12</f>
        <v>13460</v>
      </c>
      <c r="D4" s="24">
        <v>1.0</v>
      </c>
      <c r="E4" s="25">
        <f>C4*D4</f>
        <v>13460</v>
      </c>
      <c r="F4" s="26">
        <v>0.24</v>
      </c>
      <c r="G4" s="23">
        <f>PMT(F4/12,3*12,C4)*-1</f>
        <v>528.074196</v>
      </c>
      <c r="H4" s="23">
        <f t="shared" ref="H4:H5" si="2">D4*G4</f>
        <v>528.074196</v>
      </c>
      <c r="I4" s="23">
        <f t="shared" ref="I4:I5" si="3">G4*12</f>
        <v>6336.890352</v>
      </c>
      <c r="J4" s="23">
        <f t="shared" ref="J4:J5" si="4">H4*B4</f>
        <v>19010.67105</v>
      </c>
      <c r="K4" s="9"/>
      <c r="L4" s="14" t="s">
        <v>16</v>
      </c>
      <c r="M4" s="27">
        <v>750.0</v>
      </c>
      <c r="N4" s="9"/>
      <c r="O4" s="11" t="s">
        <v>17</v>
      </c>
      <c r="P4" s="28" t="s">
        <v>18</v>
      </c>
      <c r="Q4" s="29">
        <v>7740.0</v>
      </c>
      <c r="R4" s="9"/>
      <c r="S4" s="9"/>
      <c r="T4" s="9"/>
      <c r="U4" s="9"/>
    </row>
    <row r="5">
      <c r="A5" s="21" t="s">
        <v>15</v>
      </c>
      <c r="B5" s="22">
        <v>48.0</v>
      </c>
      <c r="C5" s="23">
        <f>C4</f>
        <v>13460</v>
      </c>
      <c r="D5" s="22">
        <v>1.0</v>
      </c>
      <c r="E5" s="25">
        <f t="shared" ref="E5:F5" si="1">E4</f>
        <v>13460</v>
      </c>
      <c r="F5" s="30">
        <f t="shared" si="1"/>
        <v>0.24</v>
      </c>
      <c r="G5" s="23">
        <f>PMT(F5/12,4*12,C5)*-1</f>
        <v>438.8207065</v>
      </c>
      <c r="H5" s="23">
        <f t="shared" si="2"/>
        <v>438.8207065</v>
      </c>
      <c r="I5" s="23">
        <f t="shared" si="3"/>
        <v>5265.848478</v>
      </c>
      <c r="J5" s="23">
        <f t="shared" si="4"/>
        <v>21063.39391</v>
      </c>
      <c r="K5" s="9"/>
      <c r="L5" s="14" t="s">
        <v>19</v>
      </c>
      <c r="M5" s="31">
        <v>1390.0</v>
      </c>
      <c r="N5" s="11"/>
      <c r="O5" s="11" t="s">
        <v>20</v>
      </c>
      <c r="P5" s="32" t="s">
        <v>21</v>
      </c>
      <c r="Q5" s="33">
        <v>9450.0</v>
      </c>
      <c r="R5" s="9"/>
      <c r="S5" s="11"/>
      <c r="T5" s="9"/>
      <c r="U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4" t="s">
        <v>22</v>
      </c>
      <c r="M6" s="34">
        <v>1870.0</v>
      </c>
      <c r="N6" s="1"/>
      <c r="O6" s="35" t="s">
        <v>23</v>
      </c>
      <c r="P6" s="36" t="s">
        <v>24</v>
      </c>
      <c r="Q6" s="37">
        <v>350.0</v>
      </c>
      <c r="R6" s="35"/>
      <c r="S6" s="35"/>
      <c r="T6" s="35"/>
      <c r="U6" s="35"/>
    </row>
    <row r="7">
      <c r="A7" s="1"/>
      <c r="B7" s="1"/>
      <c r="C7" s="1"/>
      <c r="D7" s="1"/>
      <c r="E7" s="1"/>
      <c r="F7" s="1"/>
      <c r="G7" s="1"/>
      <c r="H7" s="35"/>
      <c r="I7" s="1"/>
      <c r="J7" s="1"/>
      <c r="K7" s="1"/>
      <c r="L7" s="14"/>
      <c r="M7" s="38">
        <v>0.0</v>
      </c>
      <c r="N7" s="1"/>
      <c r="O7" s="35" t="s">
        <v>25</v>
      </c>
      <c r="P7" s="39" t="s">
        <v>26</v>
      </c>
      <c r="Q7" s="37">
        <f>350*3</f>
        <v>1050</v>
      </c>
      <c r="R7" s="35"/>
      <c r="S7" s="2"/>
      <c r="T7" s="2"/>
      <c r="U7" s="1"/>
    </row>
    <row r="8">
      <c r="A8" s="1"/>
      <c r="B8" s="1"/>
      <c r="C8" s="1"/>
      <c r="D8" s="1"/>
      <c r="E8" s="1"/>
      <c r="F8" s="1"/>
      <c r="G8" s="1"/>
      <c r="H8" s="35"/>
      <c r="I8" s="40"/>
      <c r="J8" s="35"/>
      <c r="K8" s="1"/>
      <c r="L8" s="14"/>
      <c r="M8" s="38"/>
      <c r="N8" s="1"/>
      <c r="O8" s="35" t="s">
        <v>27</v>
      </c>
      <c r="P8" s="39" t="s">
        <v>28</v>
      </c>
      <c r="Q8" s="37">
        <f>350*4</f>
        <v>1400</v>
      </c>
      <c r="R8" s="35"/>
      <c r="S8" s="2"/>
      <c r="T8" s="2"/>
      <c r="U8" s="1"/>
    </row>
    <row r="9">
      <c r="A9" s="1"/>
      <c r="B9" s="1"/>
      <c r="C9" s="1"/>
      <c r="D9" s="1"/>
      <c r="E9" s="1"/>
      <c r="F9" s="1"/>
      <c r="G9" s="35"/>
      <c r="H9" s="2"/>
      <c r="I9" s="2"/>
      <c r="J9" s="1"/>
      <c r="K9" s="1"/>
      <c r="L9" s="14"/>
      <c r="M9" s="38"/>
      <c r="N9" s="1"/>
      <c r="O9" s="35" t="s">
        <v>29</v>
      </c>
      <c r="P9" s="35" t="s">
        <v>30</v>
      </c>
      <c r="Q9" s="31">
        <v>490.0</v>
      </c>
      <c r="R9" s="35"/>
      <c r="S9" s="1"/>
      <c r="T9" s="2"/>
      <c r="U9" s="1"/>
    </row>
    <row r="10">
      <c r="A10" s="1"/>
      <c r="B10" s="1"/>
      <c r="C10" s="35"/>
      <c r="D10" s="38"/>
      <c r="E10" s="1"/>
      <c r="F10" s="35"/>
      <c r="G10" s="35"/>
      <c r="H10" s="2"/>
      <c r="I10" s="1"/>
      <c r="J10" s="1"/>
      <c r="K10" s="1"/>
      <c r="L10" s="14"/>
      <c r="M10" s="38"/>
      <c r="N10" s="1"/>
      <c r="O10" s="35" t="s">
        <v>31</v>
      </c>
      <c r="P10" s="35" t="s">
        <v>32</v>
      </c>
      <c r="Q10" s="31">
        <v>1390.0</v>
      </c>
      <c r="R10" s="35"/>
      <c r="S10" s="1"/>
      <c r="T10" s="2"/>
      <c r="U10" s="1"/>
    </row>
    <row r="11">
      <c r="A11" s="1"/>
      <c r="B11" s="1"/>
      <c r="C11" s="35"/>
      <c r="D11" s="1"/>
      <c r="E11" s="1"/>
      <c r="F11" s="1"/>
      <c r="G11" s="35"/>
      <c r="H11" s="2"/>
      <c r="I11" s="2"/>
      <c r="J11" s="1"/>
      <c r="K11" s="1"/>
      <c r="L11" s="14"/>
      <c r="M11" s="38"/>
      <c r="N11" s="1"/>
      <c r="O11" s="35" t="s">
        <v>33</v>
      </c>
      <c r="P11" s="35" t="s">
        <v>34</v>
      </c>
      <c r="Q11" s="38">
        <v>1870.0</v>
      </c>
      <c r="R11" s="35"/>
      <c r="S11" s="2"/>
      <c r="T11" s="2"/>
      <c r="U11" s="1"/>
    </row>
    <row r="12">
      <c r="A12" s="1"/>
      <c r="B12" s="1"/>
      <c r="C12" s="35"/>
      <c r="D12" s="1"/>
      <c r="E12" s="1"/>
      <c r="F12" s="35"/>
      <c r="G12" s="1"/>
      <c r="H12" s="1"/>
      <c r="I12" s="1"/>
      <c r="J12" s="1"/>
      <c r="K12" s="1"/>
      <c r="L12" s="35" t="s">
        <v>35</v>
      </c>
      <c r="M12" s="2">
        <f>SUM(M3:M11)</f>
        <v>13460</v>
      </c>
      <c r="N12" s="1"/>
      <c r="O12" s="35" t="s">
        <v>36</v>
      </c>
      <c r="P12" s="1"/>
      <c r="Q12" s="35">
        <v>750.0</v>
      </c>
      <c r="R12" s="1"/>
      <c r="S12" s="1"/>
      <c r="T12" s="1"/>
      <c r="U12" s="1"/>
    </row>
    <row r="13">
      <c r="A13" s="1"/>
      <c r="B13" s="1"/>
      <c r="C13" s="35"/>
      <c r="D13" s="1"/>
      <c r="E13" s="1"/>
      <c r="F13" s="1"/>
      <c r="G13" s="1"/>
      <c r="H13" s="1"/>
      <c r="I13" s="1"/>
      <c r="J13" s="1"/>
      <c r="K13" s="1"/>
      <c r="L13" s="1"/>
      <c r="M13" s="2"/>
      <c r="N13" s="1"/>
      <c r="O13" s="35" t="s">
        <v>37</v>
      </c>
      <c r="P13" s="1"/>
      <c r="Q13" s="31">
        <v>24374.7</v>
      </c>
      <c r="R13" s="1"/>
      <c r="S13" s="1"/>
      <c r="T13" s="1"/>
      <c r="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2"/>
      <c r="N14" s="1"/>
      <c r="O14" s="35" t="s">
        <v>38</v>
      </c>
      <c r="P14" s="1"/>
      <c r="Q14" s="31">
        <v>26600.7</v>
      </c>
      <c r="R14" s="1"/>
      <c r="S14" s="1"/>
      <c r="T14" s="1"/>
      <c r="U14" s="1"/>
    </row>
    <row r="15">
      <c r="A15" s="3" t="s">
        <v>0</v>
      </c>
      <c r="B15" s="4"/>
      <c r="C15" s="5"/>
      <c r="D15" s="5"/>
      <c r="E15" s="5"/>
      <c r="F15" s="6"/>
      <c r="G15" s="7"/>
      <c r="H15" s="8"/>
      <c r="I15" s="5"/>
      <c r="J15" s="5"/>
      <c r="K15" s="9"/>
      <c r="L15" s="11" t="s">
        <v>39</v>
      </c>
      <c r="M15" s="10"/>
      <c r="N15" s="9"/>
      <c r="O15" s="35" t="s">
        <v>40</v>
      </c>
      <c r="P15" s="9"/>
      <c r="Q15" s="29">
        <v>31720.5</v>
      </c>
      <c r="R15" s="9"/>
      <c r="S15" s="9"/>
      <c r="T15" s="9"/>
      <c r="U15" s="9"/>
    </row>
    <row r="16">
      <c r="A16" s="12" t="s">
        <v>2</v>
      </c>
      <c r="B16" s="13" t="s">
        <v>3</v>
      </c>
      <c r="C16" s="14" t="s">
        <v>4</v>
      </c>
      <c r="D16" s="15" t="s">
        <v>5</v>
      </c>
      <c r="E16" s="16" t="s">
        <v>6</v>
      </c>
      <c r="F16" s="12" t="s">
        <v>7</v>
      </c>
      <c r="G16" s="13" t="s">
        <v>8</v>
      </c>
      <c r="H16" s="17" t="s">
        <v>9</v>
      </c>
      <c r="I16" s="16" t="s">
        <v>10</v>
      </c>
      <c r="J16" s="18" t="s">
        <v>11</v>
      </c>
      <c r="K16" s="9"/>
      <c r="L16" s="14" t="s">
        <v>12</v>
      </c>
      <c r="M16" s="27">
        <v>9600.0</v>
      </c>
      <c r="N16" s="9"/>
      <c r="O16" s="9"/>
      <c r="P16" s="9"/>
      <c r="Q16" s="9"/>
      <c r="R16" s="9"/>
      <c r="S16" s="9"/>
      <c r="T16" s="9"/>
      <c r="U16" s="9"/>
    </row>
    <row r="17">
      <c r="A17" s="21" t="s">
        <v>15</v>
      </c>
      <c r="B17" s="21">
        <v>36.0</v>
      </c>
      <c r="C17" s="23">
        <f>M25</f>
        <v>9858.1785</v>
      </c>
      <c r="D17" s="24">
        <v>60.0</v>
      </c>
      <c r="E17" s="25">
        <f>C17*D17</f>
        <v>591490.71</v>
      </c>
      <c r="F17" s="30">
        <v>0.24</v>
      </c>
      <c r="G17" s="23">
        <f>PMT(F17/12,3*12,C17)*-1</f>
        <v>386.764464</v>
      </c>
      <c r="H17" s="23">
        <f t="shared" ref="H17:H18" si="6">D17*G17</f>
        <v>23205.86784</v>
      </c>
      <c r="I17" s="23">
        <f t="shared" ref="I17:I18" si="7">G17*12</f>
        <v>4641.173568</v>
      </c>
      <c r="J17" s="23">
        <f t="shared" ref="J17:J18" si="8">H17*B17</f>
        <v>835411.2422</v>
      </c>
      <c r="K17" s="9"/>
      <c r="L17" s="14" t="s">
        <v>16</v>
      </c>
      <c r="M17" s="27">
        <v>0.0</v>
      </c>
      <c r="N17" s="9"/>
      <c r="O17" s="9"/>
      <c r="P17" s="9"/>
      <c r="Q17" s="9"/>
      <c r="R17" s="9"/>
      <c r="S17" s="9"/>
      <c r="T17" s="9"/>
      <c r="U17" s="9"/>
    </row>
    <row r="18">
      <c r="A18" s="21" t="s">
        <v>15</v>
      </c>
      <c r="B18" s="21">
        <v>48.0</v>
      </c>
      <c r="C18" s="23">
        <f t="shared" ref="C18:F18" si="5">C17</f>
        <v>9858.1785</v>
      </c>
      <c r="D18" s="22">
        <f t="shared" si="5"/>
        <v>60</v>
      </c>
      <c r="E18" s="25">
        <f t="shared" si="5"/>
        <v>591490.71</v>
      </c>
      <c r="F18" s="30">
        <f t="shared" si="5"/>
        <v>0.24</v>
      </c>
      <c r="G18" s="23">
        <f>PMT(F18/12,4*12,C18)*-1</f>
        <v>321.3947143</v>
      </c>
      <c r="H18" s="23">
        <f t="shared" si="6"/>
        <v>19283.68286</v>
      </c>
      <c r="I18" s="23">
        <f t="shared" si="7"/>
        <v>3856.736571</v>
      </c>
      <c r="J18" s="23">
        <f t="shared" si="8"/>
        <v>925616.777</v>
      </c>
      <c r="K18" s="9"/>
      <c r="L18" s="14" t="s">
        <v>19</v>
      </c>
      <c r="M18" s="34">
        <v>0.0</v>
      </c>
      <c r="N18" s="9"/>
      <c r="O18" s="9"/>
      <c r="P18" s="9"/>
      <c r="Q18" s="9"/>
      <c r="R18" s="9"/>
      <c r="S18" s="9"/>
      <c r="T18" s="9"/>
      <c r="U18" s="9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 t="s">
        <v>22</v>
      </c>
      <c r="M19" s="34">
        <v>0.0</v>
      </c>
      <c r="N19" s="35" t="s">
        <v>41</v>
      </c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 t="s">
        <v>42</v>
      </c>
      <c r="M20" s="41">
        <f>N20/D17</f>
        <v>258.1785</v>
      </c>
      <c r="N20" s="42">
        <v>15490.71</v>
      </c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38"/>
      <c r="F21" s="2"/>
      <c r="G21" s="1"/>
      <c r="H21" s="1"/>
      <c r="I21" s="1"/>
      <c r="J21" s="1"/>
      <c r="K21" s="1"/>
      <c r="L21" s="14"/>
      <c r="M21" s="2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38"/>
      <c r="F22" s="2"/>
      <c r="G22" s="1"/>
      <c r="H22" s="1"/>
      <c r="I22" s="1"/>
      <c r="J22" s="1"/>
      <c r="K22" s="1"/>
      <c r="L22" s="14"/>
      <c r="M22" s="2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38"/>
      <c r="F23" s="38"/>
      <c r="G23" s="1"/>
      <c r="H23" s="1"/>
      <c r="I23" s="1"/>
      <c r="J23" s="1"/>
      <c r="K23" s="1"/>
      <c r="L23" s="14"/>
      <c r="M23" s="38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4"/>
      <c r="M24" s="2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5" t="s">
        <v>35</v>
      </c>
      <c r="M25" s="2">
        <f>SUM(M16:M24)</f>
        <v>9858.1785</v>
      </c>
      <c r="N25" s="1"/>
      <c r="O25" s="1"/>
      <c r="P25" s="1"/>
      <c r="Q25" s="1"/>
      <c r="R25" s="1"/>
      <c r="S25" s="1"/>
      <c r="T25" s="1"/>
      <c r="U25" s="1"/>
    </row>
    <row r="26">
      <c r="D26" s="1"/>
      <c r="E26" s="1"/>
      <c r="F26" s="1"/>
      <c r="G26" s="1"/>
      <c r="H26" s="1"/>
      <c r="I26" s="1"/>
      <c r="J26" s="1"/>
      <c r="K26" s="1"/>
      <c r="L26" s="1"/>
      <c r="M26" s="2"/>
      <c r="N26" s="43"/>
      <c r="O26" s="1"/>
      <c r="P26" s="1"/>
      <c r="Q26" s="1"/>
      <c r="R26" s="1"/>
      <c r="S26" s="1"/>
      <c r="T26" s="1"/>
      <c r="U26" s="1"/>
    </row>
    <row r="27">
      <c r="D27" s="1"/>
      <c r="E27" s="1"/>
      <c r="F27" s="1"/>
      <c r="G27" s="1"/>
      <c r="H27" s="1"/>
      <c r="I27" s="1"/>
      <c r="J27" s="1"/>
      <c r="K27" s="1"/>
      <c r="L27" s="1"/>
      <c r="M27" s="2"/>
      <c r="N27" s="43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43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43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43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43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43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43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43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43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43"/>
      <c r="O36" s="1"/>
      <c r="P36" s="1"/>
      <c r="Q36" s="1"/>
      <c r="R36" s="1"/>
      <c r="S36" s="1"/>
      <c r="T36" s="1"/>
      <c r="U36" s="1"/>
    </row>
    <row r="37">
      <c r="A37" s="44" t="s">
        <v>43</v>
      </c>
      <c r="B37" s="1"/>
      <c r="C37" s="1"/>
      <c r="D37" s="1"/>
      <c r="E37" s="1"/>
      <c r="F37" s="1"/>
      <c r="G37" s="44" t="s">
        <v>44</v>
      </c>
      <c r="H37" s="1"/>
      <c r="I37" s="1"/>
      <c r="J37" s="1"/>
      <c r="K37" s="1"/>
      <c r="L37" s="1"/>
      <c r="M37" s="2"/>
      <c r="N37" s="43"/>
      <c r="O37" s="1"/>
      <c r="P37" s="1"/>
      <c r="Q37" s="1"/>
      <c r="R37" s="1"/>
      <c r="S37" s="1"/>
      <c r="T37" s="1"/>
      <c r="U37" s="1"/>
    </row>
    <row r="38">
      <c r="A38" s="45">
        <v>20129.0</v>
      </c>
      <c r="B38" s="35">
        <v>1.0</v>
      </c>
      <c r="C38" s="35" t="s">
        <v>45</v>
      </c>
      <c r="D38" s="38">
        <v>20289.0</v>
      </c>
      <c r="E38" s="46" t="s">
        <v>46</v>
      </c>
      <c r="F38" s="38">
        <v>263757.0</v>
      </c>
      <c r="G38" s="38">
        <v>305958.12</v>
      </c>
      <c r="H38" s="1"/>
      <c r="I38" s="1"/>
      <c r="J38" s="1"/>
      <c r="K38" s="1"/>
      <c r="L38" s="1"/>
      <c r="M38" s="2"/>
      <c r="N38" s="43"/>
      <c r="O38" s="1"/>
      <c r="P38" s="1"/>
      <c r="Q38" s="1"/>
      <c r="R38" s="1"/>
      <c r="S38" s="1"/>
      <c r="T38" s="1"/>
      <c r="U38" s="1"/>
    </row>
    <row r="39">
      <c r="A39" s="47">
        <v>5099.0</v>
      </c>
      <c r="B39" s="35">
        <v>2.0</v>
      </c>
      <c r="C39" s="35" t="s">
        <v>47</v>
      </c>
      <c r="D39" s="38">
        <v>4939.0</v>
      </c>
      <c r="E39" s="46" t="s">
        <v>46</v>
      </c>
      <c r="F39" s="38">
        <v>64207.0</v>
      </c>
      <c r="G39" s="38">
        <v>74480.12</v>
      </c>
      <c r="H39" s="1"/>
      <c r="I39" s="1"/>
      <c r="J39" s="1"/>
      <c r="K39" s="1"/>
      <c r="L39" s="1"/>
      <c r="M39" s="2"/>
      <c r="N39" s="43"/>
      <c r="O39" s="1"/>
      <c r="P39" s="1"/>
      <c r="Q39" s="1"/>
      <c r="R39" s="1"/>
      <c r="S39" s="1"/>
      <c r="T39" s="1"/>
      <c r="U39" s="1"/>
    </row>
    <row r="40">
      <c r="A40" s="47">
        <v>2919.0</v>
      </c>
      <c r="B40" s="35">
        <v>3.0</v>
      </c>
      <c r="C40" s="35" t="s">
        <v>48</v>
      </c>
      <c r="D40" s="38">
        <v>2859.0</v>
      </c>
      <c r="E40" s="46" t="s">
        <v>46</v>
      </c>
      <c r="F40" s="38">
        <v>37167.0</v>
      </c>
      <c r="G40" s="38">
        <v>43113.72</v>
      </c>
      <c r="H40" s="1"/>
      <c r="I40" s="1"/>
      <c r="J40" s="1"/>
      <c r="K40" s="1"/>
      <c r="L40" s="1"/>
      <c r="M40" s="2"/>
      <c r="N40" s="43"/>
      <c r="O40" s="1"/>
      <c r="P40" s="1"/>
      <c r="Q40" s="1"/>
      <c r="R40" s="1"/>
      <c r="S40" s="1"/>
      <c r="T40" s="1"/>
      <c r="U40" s="1"/>
    </row>
    <row r="41">
      <c r="A41" s="45">
        <v>928.0</v>
      </c>
      <c r="B41" s="35">
        <v>4.0</v>
      </c>
      <c r="C41" s="35" t="s">
        <v>49</v>
      </c>
      <c r="D41" s="38">
        <v>928.0</v>
      </c>
      <c r="E41" s="46" t="s">
        <v>46</v>
      </c>
      <c r="F41" s="38">
        <v>12064.0</v>
      </c>
      <c r="G41" s="38">
        <v>13994.24</v>
      </c>
      <c r="H41" s="1"/>
      <c r="I41" s="1"/>
      <c r="J41" s="1"/>
      <c r="K41" s="1"/>
      <c r="L41" s="1"/>
      <c r="M41" s="2"/>
      <c r="N41" s="43"/>
      <c r="O41" s="1"/>
      <c r="P41" s="1"/>
      <c r="Q41" s="1"/>
      <c r="R41" s="1"/>
      <c r="S41" s="1"/>
      <c r="T41" s="1"/>
      <c r="U41" s="1"/>
    </row>
    <row r="42">
      <c r="A42" s="45">
        <v>1740.0</v>
      </c>
      <c r="B42" s="35">
        <v>5.0</v>
      </c>
      <c r="C42" s="35" t="s">
        <v>50</v>
      </c>
      <c r="D42" s="38">
        <v>1740.0</v>
      </c>
      <c r="E42" s="46" t="s">
        <v>46</v>
      </c>
      <c r="F42" s="38">
        <v>22620.0</v>
      </c>
      <c r="G42" s="38">
        <v>26239.2</v>
      </c>
      <c r="H42" s="1"/>
      <c r="I42" s="1"/>
      <c r="J42" s="1"/>
      <c r="K42" s="1"/>
      <c r="L42" s="1"/>
      <c r="M42" s="2"/>
      <c r="N42" s="43"/>
      <c r="O42" s="1"/>
      <c r="P42" s="1"/>
      <c r="Q42" s="1"/>
      <c r="R42" s="1"/>
      <c r="S42" s="1"/>
      <c r="T42" s="1"/>
      <c r="U42" s="1"/>
    </row>
    <row r="43">
      <c r="A43" s="45" t="s">
        <v>51</v>
      </c>
      <c r="B43" s="35">
        <v>6.0</v>
      </c>
      <c r="C43" s="35" t="s">
        <v>52</v>
      </c>
      <c r="D43" s="38">
        <v>27999.01</v>
      </c>
      <c r="E43" s="46" t="s">
        <v>53</v>
      </c>
      <c r="F43" s="38">
        <v>55998.02</v>
      </c>
      <c r="G43" s="38">
        <v>64957.7</v>
      </c>
      <c r="H43" s="1"/>
      <c r="I43" s="1"/>
      <c r="J43" s="1"/>
      <c r="K43" s="1"/>
      <c r="L43" s="1"/>
      <c r="M43" s="2"/>
      <c r="N43" s="43"/>
      <c r="O43" s="1"/>
      <c r="P43" s="1"/>
      <c r="Q43" s="1"/>
      <c r="R43" s="1"/>
      <c r="S43" s="1"/>
      <c r="T43" s="1"/>
      <c r="U43" s="1"/>
    </row>
    <row r="44">
      <c r="A44" s="45">
        <v>12099.0</v>
      </c>
      <c r="B44" s="35">
        <v>7.0</v>
      </c>
      <c r="C44" s="35" t="s">
        <v>54</v>
      </c>
      <c r="D44" s="38">
        <v>12099.0</v>
      </c>
      <c r="E44" s="46" t="s">
        <v>53</v>
      </c>
      <c r="F44" s="38">
        <v>24198.0</v>
      </c>
      <c r="G44" s="38">
        <v>28069.68</v>
      </c>
      <c r="H44" s="1"/>
      <c r="I44" s="1"/>
      <c r="J44" s="1"/>
      <c r="K44" s="1"/>
      <c r="L44" s="1"/>
      <c r="M44" s="2"/>
      <c r="N44" s="43"/>
      <c r="O44" s="1"/>
      <c r="P44" s="1"/>
      <c r="Q44" s="1"/>
      <c r="R44" s="1"/>
      <c r="S44" s="1"/>
      <c r="T44" s="1"/>
      <c r="U44" s="1"/>
    </row>
    <row r="45">
      <c r="A45" s="48"/>
      <c r="B45" s="35">
        <v>8.0</v>
      </c>
      <c r="C45" s="35" t="s">
        <v>55</v>
      </c>
      <c r="D45" s="2"/>
      <c r="E45" s="49"/>
      <c r="F45" s="2"/>
      <c r="G45" s="2"/>
      <c r="H45" s="1"/>
      <c r="I45" s="1"/>
      <c r="J45" s="1"/>
      <c r="K45" s="1"/>
      <c r="L45" s="1"/>
      <c r="M45" s="2"/>
      <c r="N45" s="43"/>
      <c r="O45" s="1"/>
      <c r="P45" s="1"/>
      <c r="Q45" s="1"/>
      <c r="R45" s="1"/>
      <c r="S45" s="1"/>
      <c r="T45" s="1"/>
      <c r="U45" s="1"/>
    </row>
    <row r="46">
      <c r="A46" s="45">
        <v>13899.0</v>
      </c>
      <c r="B46" s="35">
        <v>9.0</v>
      </c>
      <c r="C46" s="35" t="s">
        <v>56</v>
      </c>
      <c r="D46" s="38">
        <v>13999.0</v>
      </c>
      <c r="E46" s="46" t="s">
        <v>53</v>
      </c>
      <c r="F46" s="38">
        <v>27998.0</v>
      </c>
      <c r="G46" s="38">
        <v>32477.68</v>
      </c>
      <c r="H46" s="1"/>
      <c r="I46" s="1"/>
      <c r="J46" s="1"/>
      <c r="K46" s="1"/>
      <c r="L46" s="1"/>
      <c r="M46" s="2"/>
      <c r="N46" s="43"/>
      <c r="O46" s="1"/>
      <c r="P46" s="1"/>
      <c r="Q46" s="1"/>
      <c r="R46" s="1"/>
      <c r="S46" s="1"/>
      <c r="T46" s="1"/>
      <c r="U46" s="1"/>
    </row>
    <row r="47">
      <c r="A47" s="47">
        <v>75409.0</v>
      </c>
      <c r="B47" s="35">
        <v>10.0</v>
      </c>
      <c r="C47" s="35" t="s">
        <v>57</v>
      </c>
      <c r="D47" s="38">
        <v>72179.0</v>
      </c>
      <c r="E47" s="46" t="s">
        <v>58</v>
      </c>
      <c r="F47" s="38">
        <v>72179.0</v>
      </c>
      <c r="G47" s="38">
        <v>83727.64</v>
      </c>
      <c r="H47" s="1"/>
      <c r="I47" s="1"/>
      <c r="J47" s="1"/>
      <c r="K47" s="1"/>
      <c r="L47" s="1"/>
      <c r="M47" s="2"/>
      <c r="N47" s="43"/>
      <c r="O47" s="1"/>
      <c r="P47" s="1"/>
      <c r="Q47" s="1"/>
      <c r="R47" s="1"/>
      <c r="S47" s="1"/>
      <c r="T47" s="1"/>
      <c r="U47" s="1"/>
    </row>
    <row r="48">
      <c r="A48" s="47">
        <v>37699.0</v>
      </c>
      <c r="B48" s="35">
        <v>11.0</v>
      </c>
      <c r="C48" s="35" t="s">
        <v>59</v>
      </c>
      <c r="D48" s="38">
        <v>31879.0</v>
      </c>
      <c r="E48" s="46" t="s">
        <v>58</v>
      </c>
      <c r="F48" s="38">
        <v>31879.0</v>
      </c>
      <c r="G48" s="38">
        <v>36979.64</v>
      </c>
      <c r="H48" s="1"/>
      <c r="I48" s="1"/>
      <c r="J48" s="1"/>
      <c r="K48" s="1"/>
      <c r="L48" s="1"/>
      <c r="M48" s="2"/>
      <c r="N48" s="43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50">
        <v>188910.01</v>
      </c>
      <c r="E49" s="1"/>
      <c r="F49" s="50">
        <v>612067.02</v>
      </c>
      <c r="G49" s="51">
        <v>709997.74</v>
      </c>
      <c r="H49" s="1"/>
      <c r="I49" s="1"/>
      <c r="J49" s="1"/>
      <c r="K49" s="1"/>
      <c r="L49" s="1"/>
      <c r="M49" s="2"/>
      <c r="N49" s="43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43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43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43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43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43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43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43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43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43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43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43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43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43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43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43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43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43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43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43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43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43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43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43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43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43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43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43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43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43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43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43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43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43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43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43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43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43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43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43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43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43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43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43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43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43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43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43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43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43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43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43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43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43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43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43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43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43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43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43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43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43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43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43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43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43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43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43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43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43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43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43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43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43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43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43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43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43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43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43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43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43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43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43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43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43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43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43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43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43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43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43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43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43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43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43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43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43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43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43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43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43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43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43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43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43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43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43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43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43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43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43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43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43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43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43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43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43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43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43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43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43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43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43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43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43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43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43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43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43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43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43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43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43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43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43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43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43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43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43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43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43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43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43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43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43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43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43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43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43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43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43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43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43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43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43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43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43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43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43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43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43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43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43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43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43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43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43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43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43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43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43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43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43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43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43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43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43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43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43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43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43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43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43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43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43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43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43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43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43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43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43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43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43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43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43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43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43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43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43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43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43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43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43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43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43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43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43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43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43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43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43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43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43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43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43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43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43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43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43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43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43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43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43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43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43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43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43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43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43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43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43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43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43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43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43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43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43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43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43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43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43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43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43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43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43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43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43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43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43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43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43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43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43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43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43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43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43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43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43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43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43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43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43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43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43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43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43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43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43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43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43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43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43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43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43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43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43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43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43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43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43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43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43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43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43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43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43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43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43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43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43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43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43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43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43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43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43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43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43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43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43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43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43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43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43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43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43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43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43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43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43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43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43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43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43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43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43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43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43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43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43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43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43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43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43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43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43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43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43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43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43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43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43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43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43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43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43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43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43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43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43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43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43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43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43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43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43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43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43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43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43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43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43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43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43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43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43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43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43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43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43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43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43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43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43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43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43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43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43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43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43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43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43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43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43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43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43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43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43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43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43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43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43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43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43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43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43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43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43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43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43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43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43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43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43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43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43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43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43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43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43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43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43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43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43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43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43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43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43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43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43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43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43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43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43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43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43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43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43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43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43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43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43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43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43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43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43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43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43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43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43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43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43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43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43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43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43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43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43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43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43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43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43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43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43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43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43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43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43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43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43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43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43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43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43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43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43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43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43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43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43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43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43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43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43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43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43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43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43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43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43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43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43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43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43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43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43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43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43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43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43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43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43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43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43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43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43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43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43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43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43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43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43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43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43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43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43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43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43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43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43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43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43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43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43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43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43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43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43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43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43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43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43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43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43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43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43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43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43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43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43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43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43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43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43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43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43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43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43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43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43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43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43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43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43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43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43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43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43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43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43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43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43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43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43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43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43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43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43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43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43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43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43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43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43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43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43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43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43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43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43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43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43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43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43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43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43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43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43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43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43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43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43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43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43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43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43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43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43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43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43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43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43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43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43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43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43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43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43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43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43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43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43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43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43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43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43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43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43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43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43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43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43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43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43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43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43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43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43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43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43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43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43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43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43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43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43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43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43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43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43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43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43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43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43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43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43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43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43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43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43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43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43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43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43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43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43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43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43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43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43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43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43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43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43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43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43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43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43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43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43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43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43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43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43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43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43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43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43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43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43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43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43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43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43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43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43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43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43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43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43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43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43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43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43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43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43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43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43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43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43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43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43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43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43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43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43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43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43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43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43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43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43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43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43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43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43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43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43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43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43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43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43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43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43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43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43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43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43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43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43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43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43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43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43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43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43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43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43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43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43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43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43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43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43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43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43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43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43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43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43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43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43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43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43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43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43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43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43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43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43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43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43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43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43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43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43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43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43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43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43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43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43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43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43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43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43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43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43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43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43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43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43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43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43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43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43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43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43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43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43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43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43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43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43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43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43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43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43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43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43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43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43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43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43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43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43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43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43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43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43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43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43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43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43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43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43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43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43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43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43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43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43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43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43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43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43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43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43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43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43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43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43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43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43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43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43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43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43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43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43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43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43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43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43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43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43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43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43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43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43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43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43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43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43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43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43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43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43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43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43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43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43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43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43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43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43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43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43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43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43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43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43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43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43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43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43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43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43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43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43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43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43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43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43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43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43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43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43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43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43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43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43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43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43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43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43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43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43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43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43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43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43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43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43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43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43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43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43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43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43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43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43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43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43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43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43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43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43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43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43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43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43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43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43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43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43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43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43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43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43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43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43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43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43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43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43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43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43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43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43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43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43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43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43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43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43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43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43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43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43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43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43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43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43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43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43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43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43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43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43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43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43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43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43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43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43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43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43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43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43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43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43"/>
      <c r="O1002" s="1"/>
      <c r="P1002" s="1"/>
      <c r="Q1002" s="1"/>
      <c r="R1002" s="1"/>
      <c r="S1002" s="1"/>
      <c r="T1002" s="1"/>
      <c r="U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"/>
      <c r="N1003" s="43"/>
      <c r="O1003" s="1"/>
      <c r="P1003" s="1"/>
      <c r="Q1003" s="1"/>
      <c r="R1003" s="1"/>
      <c r="S1003" s="1"/>
      <c r="T1003" s="1"/>
      <c r="U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"/>
      <c r="N1004" s="43"/>
      <c r="O1004" s="1"/>
      <c r="P1004" s="1"/>
      <c r="Q1004" s="1"/>
      <c r="R1004" s="1"/>
      <c r="S1004" s="1"/>
      <c r="T1004" s="1"/>
      <c r="U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"/>
      <c r="N1005" s="43"/>
      <c r="O1005" s="1"/>
      <c r="P1005" s="1"/>
      <c r="Q1005" s="1"/>
      <c r="R1005" s="1"/>
      <c r="S1005" s="1"/>
      <c r="T1005" s="1"/>
      <c r="U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"/>
      <c r="N1006" s="43"/>
      <c r="O1006" s="1"/>
      <c r="P1006" s="1"/>
      <c r="Q1006" s="1"/>
      <c r="R1006" s="1"/>
      <c r="S1006" s="1"/>
      <c r="T1006" s="1"/>
      <c r="U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"/>
      <c r="N1007" s="43"/>
      <c r="O1007" s="1"/>
      <c r="P1007" s="1"/>
      <c r="Q1007" s="1"/>
      <c r="R1007" s="1"/>
      <c r="S1007" s="1"/>
      <c r="T1007" s="1"/>
      <c r="U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"/>
      <c r="N1008" s="43"/>
      <c r="O1008" s="1"/>
      <c r="P1008" s="1"/>
      <c r="Q1008" s="1"/>
      <c r="R1008" s="1"/>
      <c r="S1008" s="1"/>
      <c r="T1008" s="1"/>
      <c r="U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"/>
      <c r="N1009" s="43"/>
      <c r="O1009" s="1"/>
      <c r="P1009" s="1"/>
      <c r="Q1009" s="1"/>
      <c r="R1009" s="1"/>
      <c r="S1009" s="1"/>
      <c r="T1009" s="1"/>
      <c r="U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"/>
      <c r="N1010" s="43"/>
      <c r="O1010" s="1"/>
      <c r="P1010" s="1"/>
      <c r="Q1010" s="1"/>
      <c r="R1010" s="1"/>
      <c r="S1010" s="1"/>
      <c r="T1010" s="1"/>
      <c r="U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"/>
      <c r="N1011" s="43"/>
      <c r="O1011" s="1"/>
      <c r="P1011" s="1"/>
      <c r="Q1011" s="1"/>
      <c r="R1011" s="1"/>
      <c r="S1011" s="1"/>
      <c r="T1011" s="1"/>
      <c r="U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"/>
      <c r="N1012" s="43"/>
      <c r="O1012" s="1"/>
      <c r="P1012" s="1"/>
      <c r="Q1012" s="1"/>
      <c r="R1012" s="1"/>
      <c r="S1012" s="1"/>
      <c r="T1012" s="1"/>
      <c r="U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"/>
      <c r="N1013" s="43"/>
      <c r="O1013" s="1"/>
      <c r="P1013" s="1"/>
      <c r="Q1013" s="1"/>
      <c r="R1013" s="1"/>
      <c r="S1013" s="1"/>
      <c r="T1013" s="1"/>
      <c r="U1013" s="1"/>
    </row>
  </sheetData>
  <drawing r:id="rId1"/>
</worksheet>
</file>